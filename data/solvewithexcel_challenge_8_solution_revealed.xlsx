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ustomerSa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SolveWithExcel – Challenge #8: Customer Contribution Analysis (Pareto / 80–20 Rule)</t>
        </is>
      </c>
    </row>
    <row r="3">
      <c r="A3" s="2" t="inlineStr">
        <is>
          <t>This is the solution-revealed workbook.</t>
        </is>
      </c>
    </row>
    <row r="5">
      <c r="A5" s="2" t="inlineStr">
        <is>
          <t>What’s included:</t>
        </is>
      </c>
    </row>
    <row r="6">
      <c r="A6" t="inlineStr">
        <is>
          <t>• Contribution % per customer.</t>
        </is>
      </c>
    </row>
    <row r="7">
      <c r="A7" t="inlineStr">
        <is>
          <t>• Cumulative contribution %.</t>
        </is>
      </c>
    </row>
    <row r="8">
      <c r="A8" t="inlineStr">
        <is>
          <t>• Top 80% customer flag.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14" customWidth="1" min="4" max="4"/>
    <col width="25" customWidth="1" min="5" max="5"/>
  </cols>
  <sheetData>
    <row r="1">
      <c r="A1" s="3" t="inlineStr">
        <is>
          <t>Customer</t>
        </is>
      </c>
      <c r="B1" s="3" t="inlineStr">
        <is>
          <t>Total Sales</t>
        </is>
      </c>
      <c r="C1" s="3" t="inlineStr">
        <is>
          <t>Contribution %</t>
        </is>
      </c>
      <c r="D1" s="3" t="inlineStr">
        <is>
          <t>Cumulative %</t>
        </is>
      </c>
      <c r="E1" s="3" t="inlineStr">
        <is>
          <t>Top 80% Flag</t>
        </is>
      </c>
    </row>
    <row r="2">
      <c r="A2" t="inlineStr">
        <is>
          <t>Northwind BV</t>
        </is>
      </c>
      <c r="B2" t="n">
        <v>2780</v>
      </c>
      <c r="C2" s="4">
        <f>B2/SUM($B$2:$B$9)</f>
        <v/>
      </c>
      <c r="D2" s="4">
        <f>C2</f>
        <v/>
      </c>
      <c r="E2">
        <f>IF(D2&lt;=0.8,"Yes","No")</f>
        <v/>
      </c>
    </row>
    <row r="3">
      <c r="A3" t="inlineStr">
        <is>
          <t>Atlas NV</t>
        </is>
      </c>
      <c r="B3" t="n">
        <v>1090</v>
      </c>
      <c r="C3" s="4">
        <f>B3/SUM($B$2:$B$9)</f>
        <v/>
      </c>
      <c r="D3" s="4">
        <f>C3+D2</f>
        <v/>
      </c>
      <c r="E3">
        <f>IF(D3&lt;=0.8,"Yes","No")</f>
        <v/>
      </c>
    </row>
    <row r="4">
      <c r="A4" t="inlineStr">
        <is>
          <t>Orion SA</t>
        </is>
      </c>
      <c r="B4" t="n">
        <v>1060</v>
      </c>
      <c r="C4" s="4">
        <f>B4/SUM($B$2:$B$9)</f>
        <v/>
      </c>
      <c r="D4" s="4">
        <f>C4+D3</f>
        <v/>
      </c>
      <c r="E4">
        <f>IF(D4&lt;=0.8,"Yes","No")</f>
        <v/>
      </c>
    </row>
    <row r="5">
      <c r="A5" t="inlineStr">
        <is>
          <t>Delta Group</t>
        </is>
      </c>
      <c r="B5" t="n">
        <v>1035</v>
      </c>
      <c r="C5" s="4">
        <f>B5/SUM($B$2:$B$9)</f>
        <v/>
      </c>
      <c r="D5" s="4">
        <f>C5+D4</f>
        <v/>
      </c>
      <c r="E5">
        <f>IF(D5&lt;=0.8,"Yes","No")</f>
        <v/>
      </c>
    </row>
    <row r="6">
      <c r="A6" t="inlineStr">
        <is>
          <t>Bluewave Ltd</t>
        </is>
      </c>
      <c r="B6" t="n">
        <v>290</v>
      </c>
      <c r="C6" s="4">
        <f>B6/SUM($B$2:$B$9)</f>
        <v/>
      </c>
      <c r="D6" s="4">
        <f>C6+D5</f>
        <v/>
      </c>
      <c r="E6">
        <f>IF(D6&lt;=0.8,"Yes","No")</f>
        <v/>
      </c>
    </row>
    <row r="7">
      <c r="A7" t="inlineStr">
        <is>
          <t>Silverline Co</t>
        </is>
      </c>
      <c r="B7" t="n">
        <v>220</v>
      </c>
      <c r="C7" s="4">
        <f>B7/SUM($B$2:$B$9)</f>
        <v/>
      </c>
      <c r="D7" s="4">
        <f>C7+D6</f>
        <v/>
      </c>
      <c r="E7">
        <f>IF(D7&lt;=0.8,"Yes","No")</f>
        <v/>
      </c>
    </row>
    <row r="8">
      <c r="A8" t="inlineStr">
        <is>
          <t>Apex Solutions</t>
        </is>
      </c>
      <c r="B8" t="n">
        <v>180</v>
      </c>
      <c r="C8" s="4">
        <f>B8/SUM($B$2:$B$9)</f>
        <v/>
      </c>
      <c r="D8" s="4">
        <f>C8+D7</f>
        <v/>
      </c>
      <c r="E8">
        <f>IF(D8&lt;=0.8,"Yes","No")</f>
        <v/>
      </c>
    </row>
    <row r="9">
      <c r="A9" t="inlineStr">
        <is>
          <t>Horizon GmbH</t>
        </is>
      </c>
      <c r="B9" t="n">
        <v>145</v>
      </c>
      <c r="C9" s="4">
        <f>B9/SUM($B$2:$B$9)</f>
        <v/>
      </c>
      <c r="D9" s="4">
        <f>C9+D8</f>
        <v/>
      </c>
      <c r="E9">
        <f>IF(D9&lt;=0.8,"Yes","No")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Sales (All Customers)</t>
        </is>
      </c>
      <c r="B2">
        <f>SUM(B2:B9)</f>
        <v/>
      </c>
    </row>
    <row r="3">
      <c r="A3" t="inlineStr">
        <is>
          <t>Customers in Top 80%</t>
        </is>
      </c>
      <c r="B3">
        <f>COUNTIF(CustomerSales!E:E,"Yes")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2026-01-05T14:31:42Z</dcterms:created>
  <dcterms:modified xmlns:dcterms="http://purl.org/dc/terms/" xmlns:xsi="http://www.w3.org/2001/XMLSchema-instance" xsi:type="dcterms:W3CDTF">2026-01-05T14:31:42Z</dcterms:modified>
</cp:coreProperties>
</file>